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ผล" sheetId="1" state="visible" r:id="rId3"/>
    <sheet name="รายละเอียดเทสเคส" sheetId="2" state="visible" r:id="rId4"/>
    <sheet name="บั๊กคงค้าง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<sst xmlns="http://schemas.openxmlformats.org/spreadsheetml/2006/main" count="205" uniqueCount="132">
  <si>
    <t xml:space="preserve">ผลการทดสอบ QA — ฟีเจอร์ Split Bill (หารบิล)</t>
  </si>
  <si>
    <t xml:space="preserve">PaySmart · รอบ Regression ก่อน Go-live · ข้อมูล ณ 9 มิ.ย. 2026</t>
  </si>
  <si>
    <t xml:space="preserve">ภาพรวมเทสเคส</t>
  </si>
  <si>
    <t xml:space="preserve">สถานะ</t>
  </si>
  <si>
    <t xml:space="preserve">จำนวน</t>
  </si>
  <si>
    <t xml:space="preserve">สัดส่วน</t>
  </si>
  <si>
    <t xml:space="preserve">ผ่าน (Pass)</t>
  </si>
  <si>
    <t xml:space="preserve">ไม่ผ่าน (Fail)</t>
  </si>
  <si>
    <t xml:space="preserve">ถูกบล็อก (Blocked)</t>
  </si>
  <si>
    <t xml:space="preserve">รวมทั้งหมด</t>
  </si>
  <si>
    <t xml:space="preserve">อัตราการผ่าน (Pass Rate)</t>
  </si>
  <si>
    <t xml:space="preserve">บั๊กตามระดับความรุนแรง</t>
  </si>
  <si>
    <t xml:space="preserve">Severity</t>
  </si>
  <si>
    <t xml:space="preserve">เปิดอยู่ (Open)</t>
  </si>
  <si>
    <t xml:space="preserve">ปิดแล้ว (Closed)</t>
  </si>
  <si>
    <t xml:space="preserve">Critical</t>
  </si>
  <si>
    <t xml:space="preserve">High</t>
  </si>
  <si>
    <t xml:space="preserve">Medium</t>
  </si>
  <si>
    <t xml:space="preserve">Low</t>
  </si>
  <si>
    <t xml:space="preserve">รวม</t>
  </si>
  <si>
    <t xml:space="preserve">ตัวชี้วัดประสิทธิภาพ</t>
  </si>
  <si>
    <t xml:space="preserve">ตัวชี้วัด</t>
  </si>
  <si>
    <t xml:space="preserve">ผลที่วัดได้</t>
  </si>
  <si>
    <t xml:space="preserve">เป้าหมาย</t>
  </si>
  <si>
    <t xml:space="preserve">เวลาตอบสนอง API หารบิล (เฉลี่ย)</t>
  </si>
  <si>
    <t xml:space="preserve">1.8 วินาที</t>
  </si>
  <si>
    <t xml:space="preserve">&lt; 2.0 วินาที</t>
  </si>
  <si>
    <t xml:space="preserve">ผ่าน</t>
  </si>
  <si>
    <t xml:space="preserve">เวลาตอบสนอง API (p95)</t>
  </si>
  <si>
    <t xml:space="preserve">2.6 วินาที</t>
  </si>
  <si>
    <t xml:space="preserve">&lt; 3.0 วินาที</t>
  </si>
  <si>
    <t xml:space="preserve">อัตราความสำเร็จของธุรกรรม</t>
  </si>
  <si>
    <t xml:space="preserve">99.4%</t>
  </si>
  <si>
    <t xml:space="preserve">&gt; 99.0%</t>
  </si>
  <si>
    <t xml:space="preserve">Crash-free sessions</t>
  </si>
  <si>
    <t xml:space="preserve">99.7%</t>
  </si>
  <si>
    <t xml:space="preserve">&gt; 99.5%</t>
  </si>
  <si>
    <t xml:space="preserve">รหัส</t>
  </si>
  <si>
    <t xml:space="preserve">หมวด</t>
  </si>
  <si>
    <t xml:space="preserve">ชื่อเทสเคส</t>
  </si>
  <si>
    <t xml:space="preserve">ความสำคัญ</t>
  </si>
  <si>
    <t xml:space="preserve">ผล</t>
  </si>
  <si>
    <t xml:space="preserve">หมายเหตุ</t>
  </si>
  <si>
    <t xml:space="preserve">TC-001</t>
  </si>
  <si>
    <t xml:space="preserve">สร้างบิล</t>
  </si>
  <si>
    <t xml:space="preserve">สร้างบิลหารเท่ากัน 4 คน</t>
  </si>
  <si>
    <t xml:space="preserve">Pass</t>
  </si>
  <si>
    <t xml:space="preserve">TC-002</t>
  </si>
  <si>
    <t xml:space="preserve">เพิ่มผู้ร่วมจ่ายจากเบอร์โทร</t>
  </si>
  <si>
    <t xml:space="preserve">TC-003</t>
  </si>
  <si>
    <t xml:space="preserve">สร้างบิลผู้ร่วมจ่าย 20 คน (สูงสุด)</t>
  </si>
  <si>
    <t xml:space="preserve">TC-004</t>
  </si>
  <si>
    <t xml:space="preserve">สร้างบิลเกิน 20 คน ต้องแจ้งเตือน</t>
  </si>
  <si>
    <t xml:space="preserve">TC-011</t>
  </si>
  <si>
    <t xml:space="preserve">หารเงิน</t>
  </si>
  <si>
    <t xml:space="preserve">หารเท่ากันลงตัว</t>
  </si>
  <si>
    <t xml:space="preserve">TC-012</t>
  </si>
  <si>
    <t xml:space="preserve">หารเท่ากันไม่ลงตัว (ปัดเศษ)</t>
  </si>
  <si>
    <t xml:space="preserve">ระบบปัดให้ผู้สร้างบิลรับเศษ ถูกต้อง</t>
  </si>
  <si>
    <t xml:space="preserve">TC-013</t>
  </si>
  <si>
    <t xml:space="preserve">หารแบบกำหนดเอง (custom split)</t>
  </si>
  <si>
    <t xml:space="preserve">Fail</t>
  </si>
  <si>
    <t xml:space="preserve">ยอดรวมหลังหารไม่ตรงกับบิลในเคสมีเศษสตางค์ — BUG-118</t>
  </si>
  <si>
    <t xml:space="preserve">TC-014</t>
  </si>
  <si>
    <t xml:space="preserve">หารแบบ itemized</t>
  </si>
  <si>
    <t xml:space="preserve">Blocked</t>
  </si>
  <si>
    <t xml:space="preserve">ฟีเจอร์เลื่อนเป็น fast-follow</t>
  </si>
  <si>
    <t xml:space="preserve">TC-021</t>
  </si>
  <si>
    <t xml:space="preserve">ชำระเงิน</t>
  </si>
  <si>
    <t xml:space="preserve">กดลิงก์ชำระแล้วจ่ายสำเร็จ</t>
  </si>
  <si>
    <t xml:space="preserve">TC-022</t>
  </si>
  <si>
    <t xml:space="preserve">ยอดเงินไม่พอ ต้องแจ้งเตือน</t>
  </si>
  <si>
    <t xml:space="preserve">TC-023</t>
  </si>
  <si>
    <t xml:space="preserve">ชำระซ้ำต้องถูกป้องกัน</t>
  </si>
  <si>
    <t xml:space="preserve">TC-024</t>
  </si>
  <si>
    <t xml:space="preserve">ขอ refund หลังชำระ</t>
  </si>
  <si>
    <t xml:space="preserve">สถานะบิลไม่อัปเดตทันทีหลัง refund — BUG-121</t>
  </si>
  <si>
    <t xml:space="preserve">TC-031</t>
  </si>
  <si>
    <t xml:space="preserve">ทวงเงิน</t>
  </si>
  <si>
    <t xml:space="preserve">auto-reminder ส่งทุก 48 ชม.</t>
  </si>
  <si>
    <t xml:space="preserve">TC-032</t>
  </si>
  <si>
    <t xml:space="preserve">หยุดทวงเมื่อจ่ายครบ</t>
  </si>
  <si>
    <t xml:space="preserve">TC-033</t>
  </si>
  <si>
    <t xml:space="preserve">ทวงสูงสุด 3 ครั้งแล้วหยุด</t>
  </si>
  <si>
    <t xml:space="preserve">TC-041</t>
  </si>
  <si>
    <t xml:space="preserve">แจ้งเตือน</t>
  </si>
  <si>
    <t xml:space="preserve">push notification ถึงผู้ร่วมจ่าย</t>
  </si>
  <si>
    <t xml:space="preserve">TC-042</t>
  </si>
  <si>
    <t xml:space="preserve">แจ้งเตือนเมื่อมีคนจ่าย</t>
  </si>
  <si>
    <t xml:space="preserve">TC-051</t>
  </si>
  <si>
    <t xml:space="preserve">สถานะบิล</t>
  </si>
  <si>
    <t xml:space="preserve">หน้าสรุปแสดงใครจ่าย/ค้าง</t>
  </si>
  <si>
    <t xml:space="preserve">TC-052</t>
  </si>
  <si>
    <t xml:space="preserve">กรองเฉพาะคนค้างจ่าย</t>
  </si>
  <si>
    <t xml:space="preserve">TC-061</t>
  </si>
  <si>
    <t xml:space="preserve">ความปลอดภัย</t>
  </si>
  <si>
    <t xml:space="preserve">ผู้ไม่เกี่ยวข้องเข้าดูบิลไม่ได้</t>
  </si>
  <si>
    <t xml:space="preserve">TC-062</t>
  </si>
  <si>
    <t xml:space="preserve">ตรวจ KYC ก่อนโอน</t>
  </si>
  <si>
    <t xml:space="preserve">รอ Legal ยืนยันเกณฑ์ก่อนเปิดเต็ม</t>
  </si>
  <si>
    <t xml:space="preserve">TC-071</t>
  </si>
  <si>
    <t xml:space="preserve">ประสิทธิภาพ</t>
  </si>
  <si>
    <t xml:space="preserve">Load test 5,000 บิลพร้อมกัน</t>
  </si>
  <si>
    <t xml:space="preserve">p95 เกินเป้าที่ 10,000 บิล — ต้องทดสอบ peak เพิ่ม</t>
  </si>
  <si>
    <t xml:space="preserve">TC-072</t>
  </si>
  <si>
    <t xml:space="preserve">เวลาตอบสนองเฉลี่ย &lt; 2 วิ</t>
  </si>
  <si>
    <t xml:space="preserve">วัดได้ 1.8 วินาที</t>
  </si>
  <si>
    <t xml:space="preserve">รหัสบั๊ก</t>
  </si>
  <si>
    <t xml:space="preserve">หัวข้อ</t>
  </si>
  <si>
    <t xml:space="preserve">ความรุนแรง</t>
  </si>
  <si>
    <t xml:space="preserve">ผู้รับผิดชอบ</t>
  </si>
  <si>
    <t xml:space="preserve">กำหนดแก้</t>
  </si>
  <si>
    <t xml:space="preserve">BUG-118</t>
  </si>
  <si>
    <t xml:space="preserve">custom split ปัดเศษสตางค์ทำให้ยอดรวมไม่ตรง</t>
  </si>
  <si>
    <t xml:space="preserve">เปิดอยู่</t>
  </si>
  <si>
    <t xml:space="preserve">ธีรพงษ์</t>
  </si>
  <si>
    <t xml:space="preserve">25 มิ.ย. 2026</t>
  </si>
  <si>
    <t xml:space="preserve">BUG-121</t>
  </si>
  <si>
    <t xml:space="preserve">สถานะบิลไม่อัปเดตทันทีหลัง refund</t>
  </si>
  <si>
    <t xml:space="preserve">มินตรา</t>
  </si>
  <si>
    <t xml:space="preserve">27 มิ.ย. 2026</t>
  </si>
  <si>
    <t xml:space="preserve">BUG-109</t>
  </si>
  <si>
    <t xml:space="preserve">ข้อความ error ภาษาไทยตัดคำผิด</t>
  </si>
  <si>
    <t xml:space="preserve">อรุณี</t>
  </si>
  <si>
    <t xml:space="preserve">30 มิ.ย. 2026</t>
  </si>
  <si>
    <t xml:space="preserve">BUG-095</t>
  </si>
  <si>
    <t xml:space="preserve">ไอคอนสถานะค้างจ่ายสีกลมกลืนเกินไป</t>
  </si>
  <si>
    <t xml:space="preserve">หลัง launch</t>
  </si>
  <si>
    <t xml:space="preserve">BUG-088</t>
  </si>
  <si>
    <t xml:space="preserve">push ซ้ำเมื่อเครือข่ายช้า</t>
  </si>
  <si>
    <t xml:space="preserve">ปิดแล้ว</t>
  </si>
  <si>
    <t xml:space="preserve">แก้แล้ว 6 มิ.ย.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</si>
</sst>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Tahoma"/>
      <family val="0"/>
      <charset val="1"/>
    </font>
    <font>
      <i val="true"/>
      <sz val="10"/>
      <color rgb="FF666666"/>
      <name val="Tahoma"/>
      <family val="0"/>
      <charset val="1"/>
    </font>
    <font>
      <b val="true"/>
      <sz val="12"/>
      <color rgb="FF1F4E79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1"/>
      <name val="Tahoma"/>
      <family val="0"/>
      <charset val="1"/>
    </font>
    <font>
      <b val="true"/>
      <sz val="12"/>
      <color rgb="FF2E7D32"/>
      <name val="Tahom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112</v>
      </c>
      <c r="C6" s="7" t="n">
        <f aca="false">B6/$B$9</f>
        <v>0.903225806451613</v>
      </c>
    </row>
    <row r="7" customFormat="false" ht="15" hidden="false" customHeight="false" outlineLevel="0" collapsed="false">
      <c r="A7" s="8" t="s">
        <v>7</v>
      </c>
      <c r="B7" s="6" t="n">
        <v>8</v>
      </c>
      <c r="C7" s="7" t="n">
        <f aca="false">B7/$B$9</f>
        <v>0.0645161290322581</v>
      </c>
    </row>
    <row r="8" customFormat="false" ht="15" hidden="false" customHeight="false" outlineLevel="0" collapsed="false">
      <c r="A8" s="9" t="s">
        <v>8</v>
      </c>
      <c r="B8" s="6" t="n">
        <v>4</v>
      </c>
      <c r="C8" s="7" t="n">
        <f aca="false">B8/$B$9</f>
        <v>0.032258064516129</v>
      </c>
    </row>
    <row r="9" customFormat="false" ht="15" hidden="false" customHeight="false" outlineLevel="0" collapsed="false">
      <c r="A9" s="10" t="s">
        <v>9</v>
      </c>
      <c r="B9" s="10" t="n">
        <f aca="false">SUM(B6:B8)</f>
        <v>124</v>
      </c>
      <c r="C9" s="7" t="n">
        <f aca="false">B9/$B$9</f>
        <v>1</v>
      </c>
    </row>
    <row r="11" customFormat="false" ht="15" hidden="false" customHeight="false" outlineLevel="0" collapsed="false">
      <c r="A11" s="3" t="s">
        <v>10</v>
      </c>
      <c r="B11" s="11" t="n">
        <f aca="false">B6/B9</f>
        <v>0.903225806451613</v>
      </c>
    </row>
    <row r="13" customFormat="false" ht="15" hidden="false" customHeight="false" outlineLevel="0" collapsed="false">
      <c r="A13" s="3" t="s">
        <v>11</v>
      </c>
    </row>
    <row r="14" customFormat="false" ht="28.35" hidden="false" customHeight="false" outlineLevel="0" collapsed="false">
      <c r="A14" s="4" t="s">
        <v>12</v>
      </c>
      <c r="B14" s="4" t="s">
        <v>13</v>
      </c>
      <c r="C14" s="4" t="s">
        <v>14</v>
      </c>
    </row>
    <row r="15" customFormat="false" ht="15" hidden="false" customHeight="false" outlineLevel="0" collapsed="false">
      <c r="A15" s="6" t="s">
        <v>15</v>
      </c>
      <c r="B15" s="6" t="n">
        <v>1</v>
      </c>
      <c r="C15" s="6" t="n">
        <v>1</v>
      </c>
    </row>
    <row r="16" customFormat="false" ht="15" hidden="false" customHeight="false" outlineLevel="0" collapsed="false">
      <c r="A16" s="6" t="s">
        <v>16</v>
      </c>
      <c r="B16" s="6" t="n">
        <v>2</v>
      </c>
      <c r="C16" s="6" t="n">
        <v>3</v>
      </c>
    </row>
    <row r="17" customFormat="false" ht="15" hidden="false" customHeight="false" outlineLevel="0" collapsed="false">
      <c r="A17" s="6" t="s">
        <v>17</v>
      </c>
      <c r="B17" s="6" t="n">
        <v>3</v>
      </c>
      <c r="C17" s="6" t="n">
        <v>6</v>
      </c>
    </row>
    <row r="18" customFormat="false" ht="15" hidden="false" customHeight="false" outlineLevel="0" collapsed="false">
      <c r="A18" s="6" t="s">
        <v>18</v>
      </c>
      <c r="B18" s="6" t="n">
        <v>1</v>
      </c>
      <c r="C18" s="6" t="n">
        <v>9</v>
      </c>
    </row>
    <row r="19" customFormat="false" ht="15" hidden="false" customHeight="false" outlineLevel="0" collapsed="false">
      <c r="A19" s="10" t="s">
        <v>19</v>
      </c>
      <c r="B19" s="10" t="n">
        <f aca="false">SUM(B15:B18)</f>
        <v>7</v>
      </c>
      <c r="C19" s="10" t="n">
        <f aca="false">SUM(C15:C18)</f>
        <v>19</v>
      </c>
    </row>
    <row r="21" customFormat="false" ht="15" hidden="false" customHeight="false" outlineLevel="0" collapsed="false">
      <c r="A21" s="3" t="s">
        <v>20</v>
      </c>
    </row>
    <row r="22" customFormat="false" ht="15" hidden="false" customHeight="false" outlineLevel="0" collapsed="false">
      <c r="A22" s="4" t="s">
        <v>21</v>
      </c>
      <c r="B22" s="4" t="s">
        <v>22</v>
      </c>
      <c r="C22" s="4" t="s">
        <v>23</v>
      </c>
      <c r="D22" s="4" t="s">
        <v>3</v>
      </c>
    </row>
    <row r="23" customFormat="false" ht="15" hidden="false" customHeight="false" outlineLevel="0" collapsed="false">
      <c r="A23" s="6" t="s">
        <v>24</v>
      </c>
      <c r="B23" s="6" t="s">
        <v>25</v>
      </c>
      <c r="C23" s="6" t="s">
        <v>26</v>
      </c>
      <c r="D23" s="5" t="s">
        <v>27</v>
      </c>
    </row>
    <row r="24" customFormat="false" ht="15" hidden="false" customHeight="false" outlineLevel="0" collapsed="false">
      <c r="A24" s="6" t="s">
        <v>28</v>
      </c>
      <c r="B24" s="6" t="s">
        <v>29</v>
      </c>
      <c r="C24" s="6" t="s">
        <v>30</v>
      </c>
      <c r="D24" s="5" t="s">
        <v>27</v>
      </c>
    </row>
    <row r="25" customFormat="false" ht="15" hidden="false" customHeight="false" outlineLevel="0" collapsed="false">
      <c r="A25" s="6" t="s">
        <v>31</v>
      </c>
      <c r="B25" s="6" t="s">
        <v>32</v>
      </c>
      <c r="C25" s="6" t="s">
        <v>33</v>
      </c>
      <c r="D25" s="5" t="s">
        <v>27</v>
      </c>
    </row>
    <row r="26" customFormat="false" ht="15" hidden="false" customHeight="false" outlineLevel="0" collapsed="false">
      <c r="A26" s="6" t="s">
        <v>34</v>
      </c>
      <c r="B26" s="6" t="s">
        <v>35</v>
      </c>
      <c r="C26" s="6" t="s">
        <v>36</v>
      </c>
      <c r="D26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6"/>
  </cols>
  <sheetData>
    <row r="1" customFormat="false" ht="28.35" hidden="false" customHeight="false" outlineLevel="0" collapsed="false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</row>
    <row r="2" customFormat="false" ht="1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16</v>
      </c>
      <c r="E2" s="12" t="s">
        <v>46</v>
      </c>
      <c r="F2" s="6"/>
    </row>
    <row r="3" customFormat="false" ht="15" hidden="false" customHeight="false" outlineLevel="0" collapsed="false">
      <c r="A3" s="6" t="s">
        <v>47</v>
      </c>
      <c r="B3" s="6" t="s">
        <v>44</v>
      </c>
      <c r="C3" s="6" t="s">
        <v>48</v>
      </c>
      <c r="D3" s="6" t="s">
        <v>16</v>
      </c>
      <c r="E3" s="12" t="s">
        <v>46</v>
      </c>
      <c r="F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50</v>
      </c>
      <c r="D4" s="6" t="s">
        <v>17</v>
      </c>
      <c r="E4" s="12" t="s">
        <v>46</v>
      </c>
      <c r="F4" s="6"/>
    </row>
    <row r="5" customFormat="false" ht="15" hidden="false" customHeight="false" outlineLevel="0" collapsed="false">
      <c r="A5" s="6" t="s">
        <v>51</v>
      </c>
      <c r="B5" s="6" t="s">
        <v>44</v>
      </c>
      <c r="C5" s="6" t="s">
        <v>52</v>
      </c>
      <c r="D5" s="6" t="s">
        <v>17</v>
      </c>
      <c r="E5" s="12" t="s">
        <v>46</v>
      </c>
      <c r="F5" s="6"/>
    </row>
    <row r="6" customFormat="false" ht="15" hidden="false" customHeight="false" outlineLevel="0" collapsed="false">
      <c r="A6" s="6" t="s">
        <v>53</v>
      </c>
      <c r="B6" s="6" t="s">
        <v>54</v>
      </c>
      <c r="C6" s="6" t="s">
        <v>55</v>
      </c>
      <c r="D6" s="6" t="s">
        <v>16</v>
      </c>
      <c r="E6" s="12" t="s">
        <v>46</v>
      </c>
      <c r="F6" s="6"/>
    </row>
    <row r="7" customFormat="false" ht="15" hidden="false" customHeight="false" outlineLevel="0" collapsed="false">
      <c r="A7" s="6" t="s">
        <v>56</v>
      </c>
      <c r="B7" s="6" t="s">
        <v>54</v>
      </c>
      <c r="C7" s="6" t="s">
        <v>57</v>
      </c>
      <c r="D7" s="6" t="s">
        <v>16</v>
      </c>
      <c r="E7" s="12" t="s">
        <v>46</v>
      </c>
      <c r="F7" s="6" t="s">
        <v>58</v>
      </c>
    </row>
    <row r="8" customFormat="false" ht="23.85" hidden="false" customHeight="false" outlineLevel="0" collapsed="false">
      <c r="A8" s="6" t="s">
        <v>59</v>
      </c>
      <c r="B8" s="6" t="s">
        <v>54</v>
      </c>
      <c r="C8" s="6" t="s">
        <v>60</v>
      </c>
      <c r="D8" s="6" t="s">
        <v>15</v>
      </c>
      <c r="E8" s="13" t="s">
        <v>61</v>
      </c>
      <c r="F8" s="6" t="s">
        <v>62</v>
      </c>
    </row>
    <row r="9" customFormat="false" ht="15" hidden="false" customHeight="false" outlineLevel="0" collapsed="false">
      <c r="A9" s="6" t="s">
        <v>63</v>
      </c>
      <c r="B9" s="6" t="s">
        <v>54</v>
      </c>
      <c r="C9" s="6" t="s">
        <v>64</v>
      </c>
      <c r="D9" s="6" t="s">
        <v>18</v>
      </c>
      <c r="E9" s="14" t="s">
        <v>65</v>
      </c>
      <c r="F9" s="6" t="s">
        <v>66</v>
      </c>
    </row>
    <row r="10" customFormat="false" ht="15" hidden="false" customHeight="false" outlineLevel="0" collapsed="false">
      <c r="A10" s="6" t="s">
        <v>67</v>
      </c>
      <c r="B10" s="6" t="s">
        <v>68</v>
      </c>
      <c r="C10" s="6" t="s">
        <v>69</v>
      </c>
      <c r="D10" s="6" t="s">
        <v>16</v>
      </c>
      <c r="E10" s="12" t="s">
        <v>46</v>
      </c>
      <c r="F10" s="6"/>
    </row>
    <row r="11" customFormat="false" ht="15" hidden="false" customHeight="false" outlineLevel="0" collapsed="false">
      <c r="A11" s="6" t="s">
        <v>70</v>
      </c>
      <c r="B11" s="6" t="s">
        <v>68</v>
      </c>
      <c r="C11" s="6" t="s">
        <v>71</v>
      </c>
      <c r="D11" s="6" t="s">
        <v>16</v>
      </c>
      <c r="E11" s="12" t="s">
        <v>46</v>
      </c>
      <c r="F11" s="6"/>
    </row>
    <row r="12" customFormat="false" ht="15" hidden="false" customHeight="false" outlineLevel="0" collapsed="false">
      <c r="A12" s="6" t="s">
        <v>72</v>
      </c>
      <c r="B12" s="6" t="s">
        <v>68</v>
      </c>
      <c r="C12" s="6" t="s">
        <v>73</v>
      </c>
      <c r="D12" s="6" t="s">
        <v>16</v>
      </c>
      <c r="E12" s="12" t="s">
        <v>46</v>
      </c>
      <c r="F12" s="6"/>
    </row>
    <row r="13" customFormat="false" ht="23.85" hidden="false" customHeight="false" outlineLevel="0" collapsed="false">
      <c r="A13" s="6" t="s">
        <v>74</v>
      </c>
      <c r="B13" s="6" t="s">
        <v>68</v>
      </c>
      <c r="C13" s="6" t="s">
        <v>75</v>
      </c>
      <c r="D13" s="6" t="s">
        <v>17</v>
      </c>
      <c r="E13" s="13" t="s">
        <v>61</v>
      </c>
      <c r="F13" s="6" t="s">
        <v>76</v>
      </c>
    </row>
    <row r="14" customFormat="false" ht="15" hidden="false" customHeight="false" outlineLevel="0" collapsed="false">
      <c r="A14" s="6" t="s">
        <v>77</v>
      </c>
      <c r="B14" s="6" t="s">
        <v>78</v>
      </c>
      <c r="C14" s="6" t="s">
        <v>79</v>
      </c>
      <c r="D14" s="6" t="s">
        <v>16</v>
      </c>
      <c r="E14" s="12" t="s">
        <v>46</v>
      </c>
      <c r="F14" s="6"/>
    </row>
    <row r="15" customFormat="false" ht="15" hidden="false" customHeight="false" outlineLevel="0" collapsed="false">
      <c r="A15" s="6" t="s">
        <v>80</v>
      </c>
      <c r="B15" s="6" t="s">
        <v>78</v>
      </c>
      <c r="C15" s="6" t="s">
        <v>81</v>
      </c>
      <c r="D15" s="6" t="s">
        <v>16</v>
      </c>
      <c r="E15" s="12" t="s">
        <v>46</v>
      </c>
      <c r="F15" s="6"/>
    </row>
    <row r="16" customFormat="false" ht="15" hidden="false" customHeight="false" outlineLevel="0" collapsed="false">
      <c r="A16" s="6" t="s">
        <v>82</v>
      </c>
      <c r="B16" s="6" t="s">
        <v>78</v>
      </c>
      <c r="C16" s="6" t="s">
        <v>83</v>
      </c>
      <c r="D16" s="6" t="s">
        <v>17</v>
      </c>
      <c r="E16" s="12" t="s">
        <v>46</v>
      </c>
      <c r="F16" s="6"/>
    </row>
    <row r="17" customFormat="false" ht="15" hidden="false" customHeight="false" outlineLevel="0" collapsed="false">
      <c r="A17" s="6" t="s">
        <v>84</v>
      </c>
      <c r="B17" s="6" t="s">
        <v>85</v>
      </c>
      <c r="C17" s="6" t="s">
        <v>86</v>
      </c>
      <c r="D17" s="6" t="s">
        <v>16</v>
      </c>
      <c r="E17" s="12" t="s">
        <v>46</v>
      </c>
      <c r="F17" s="6"/>
    </row>
    <row r="18" customFormat="false" ht="15" hidden="false" customHeight="false" outlineLevel="0" collapsed="false">
      <c r="A18" s="6" t="s">
        <v>87</v>
      </c>
      <c r="B18" s="6" t="s">
        <v>85</v>
      </c>
      <c r="C18" s="6" t="s">
        <v>88</v>
      </c>
      <c r="D18" s="6" t="s">
        <v>17</v>
      </c>
      <c r="E18" s="12" t="s">
        <v>46</v>
      </c>
      <c r="F18" s="6"/>
    </row>
    <row r="19" customFormat="false" ht="15" hidden="false" customHeight="false" outlineLevel="0" collapsed="false">
      <c r="A19" s="6" t="s">
        <v>89</v>
      </c>
      <c r="B19" s="6" t="s">
        <v>90</v>
      </c>
      <c r="C19" s="6" t="s">
        <v>91</v>
      </c>
      <c r="D19" s="6" t="s">
        <v>16</v>
      </c>
      <c r="E19" s="12" t="s">
        <v>46</v>
      </c>
      <c r="F19" s="6"/>
    </row>
    <row r="20" customFormat="false" ht="15" hidden="false" customHeight="false" outlineLevel="0" collapsed="false">
      <c r="A20" s="6" t="s">
        <v>92</v>
      </c>
      <c r="B20" s="6" t="s">
        <v>90</v>
      </c>
      <c r="C20" s="6" t="s">
        <v>93</v>
      </c>
      <c r="D20" s="6" t="s">
        <v>18</v>
      </c>
      <c r="E20" s="12" t="s">
        <v>46</v>
      </c>
      <c r="F20" s="6"/>
    </row>
    <row r="21" customFormat="false" ht="23.85" hidden="false" customHeight="false" outlineLevel="0" collapsed="false">
      <c r="A21" s="6" t="s">
        <v>94</v>
      </c>
      <c r="B21" s="6" t="s">
        <v>95</v>
      </c>
      <c r="C21" s="6" t="s">
        <v>96</v>
      </c>
      <c r="D21" s="6" t="s">
        <v>15</v>
      </c>
      <c r="E21" s="12" t="s">
        <v>46</v>
      </c>
      <c r="F21" s="6"/>
    </row>
    <row r="22" customFormat="false" ht="15" hidden="false" customHeight="false" outlineLevel="0" collapsed="false">
      <c r="A22" s="6" t="s">
        <v>97</v>
      </c>
      <c r="B22" s="6" t="s">
        <v>95</v>
      </c>
      <c r="C22" s="6" t="s">
        <v>98</v>
      </c>
      <c r="D22" s="6" t="s">
        <v>16</v>
      </c>
      <c r="E22" s="14" t="s">
        <v>65</v>
      </c>
      <c r="F22" s="6" t="s">
        <v>99</v>
      </c>
    </row>
    <row r="23" customFormat="false" ht="23.85" hidden="false" customHeight="false" outlineLevel="0" collapsed="false">
      <c r="A23" s="6" t="s">
        <v>100</v>
      </c>
      <c r="B23" s="6" t="s">
        <v>101</v>
      </c>
      <c r="C23" s="6" t="s">
        <v>102</v>
      </c>
      <c r="D23" s="6" t="s">
        <v>16</v>
      </c>
      <c r="E23" s="13" t="s">
        <v>61</v>
      </c>
      <c r="F23" s="6" t="s">
        <v>103</v>
      </c>
    </row>
    <row r="24" customFormat="false" ht="15" hidden="false" customHeight="false" outlineLevel="0" collapsed="false">
      <c r="A24" s="6" t="s">
        <v>104</v>
      </c>
      <c r="B24" s="6" t="s">
        <v>101</v>
      </c>
      <c r="C24" s="6" t="s">
        <v>105</v>
      </c>
      <c r="D24" s="6" t="s">
        <v>16</v>
      </c>
      <c r="E24" s="12" t="s">
        <v>46</v>
      </c>
      <c r="F24" s="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8.35" hidden="false" customHeight="false" outlineLevel="0" collapsed="false">
      <c r="A1" s="4" t="s">
        <v>107</v>
      </c>
      <c r="B1" s="4" t="s">
        <v>108</v>
      </c>
      <c r="C1" s="4" t="s">
        <v>109</v>
      </c>
      <c r="D1" s="4" t="s">
        <v>3</v>
      </c>
      <c r="E1" s="4" t="s">
        <v>110</v>
      </c>
      <c r="F1" s="4" t="s">
        <v>111</v>
      </c>
    </row>
    <row r="2" customFormat="false" ht="23.85" hidden="false" customHeight="false" outlineLevel="0" collapsed="false">
      <c r="A2" s="6" t="s">
        <v>112</v>
      </c>
      <c r="B2" s="6" t="s">
        <v>113</v>
      </c>
      <c r="C2" s="8" t="s">
        <v>15</v>
      </c>
      <c r="D2" s="8" t="s">
        <v>114</v>
      </c>
      <c r="E2" s="6" t="s">
        <v>115</v>
      </c>
      <c r="F2" s="6" t="s">
        <v>116</v>
      </c>
    </row>
    <row r="3" customFormat="false" ht="15" hidden="false" customHeight="false" outlineLevel="0" collapsed="false">
      <c r="A3" s="6" t="s">
        <v>117</v>
      </c>
      <c r="B3" s="6" t="s">
        <v>118</v>
      </c>
      <c r="C3" s="8" t="s">
        <v>16</v>
      </c>
      <c r="D3" s="8" t="s">
        <v>114</v>
      </c>
      <c r="E3" s="6" t="s">
        <v>119</v>
      </c>
      <c r="F3" s="6" t="s">
        <v>120</v>
      </c>
    </row>
    <row r="4" customFormat="false" ht="15" hidden="false" customHeight="false" outlineLevel="0" collapsed="false">
      <c r="A4" s="6" t="s">
        <v>121</v>
      </c>
      <c r="B4" s="6" t="s">
        <v>122</v>
      </c>
      <c r="C4" s="9" t="s">
        <v>17</v>
      </c>
      <c r="D4" s="8" t="s">
        <v>114</v>
      </c>
      <c r="E4" s="6" t="s">
        <v>123</v>
      </c>
      <c r="F4" s="6" t="s">
        <v>124</v>
      </c>
    </row>
    <row r="5" customFormat="false" ht="15" hidden="false" customHeight="false" outlineLevel="0" collapsed="false">
      <c r="A5" s="6" t="s">
        <v>125</v>
      </c>
      <c r="B5" s="6" t="s">
        <v>126</v>
      </c>
      <c r="C5" s="6" t="s">
        <v>18</v>
      </c>
      <c r="D5" s="8" t="s">
        <v>114</v>
      </c>
      <c r="E5" s="6" t="s">
        <v>123</v>
      </c>
      <c r="F5" s="6" t="s">
        <v>127</v>
      </c>
    </row>
    <row r="6" customFormat="false" ht="15" hidden="false" customHeight="false" outlineLevel="0" collapsed="false">
      <c r="A6" s="6" t="s">
        <v>128</v>
      </c>
      <c r="B6" s="6" t="s">
        <v>129</v>
      </c>
      <c r="C6" s="8" t="s">
        <v>16</v>
      </c>
      <c r="D6" s="5" t="s">
        <v>130</v>
      </c>
      <c r="E6" s="6" t="s">
        <v>115</v>
      </c>
      <c r="F6" s="6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2026-06-14T06:44:59Z</dcterms:created>
  <dc:creator>openpyxl</dc:creator>
  <dc:description/>
  <dc:language>en-US</dc:language>
  <cp:lastModifiedBy/>
  <dcterms:modified xsi:type="dcterms:W3CDTF">2026-06-14T06:44:59Z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